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rade_agreement_templates/"/>
    </mc:Choice>
  </mc:AlternateContent>
  <xr:revisionPtr revIDLastSave="1286" documentId="8_{2C22EF37-287E-4169-811F-2073893DB026}" xr6:coauthVersionLast="47" xr6:coauthVersionMax="47" xr10:uidLastSave="{4E823267-5218-4CD6-9E70-A25C48313AB4}"/>
  <bookViews>
    <workbookView xWindow="28680" yWindow="-1365" windowWidth="29040" windowHeight="15720" xr2:uid="{00000000-000D-0000-FFFF-FFFF00000000}"/>
  </bookViews>
  <sheets>
    <sheet name="Sheet1" sheetId="1" r:id="rId1"/>
    <sheet name="priceUnit Formul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M7" i="1"/>
  <c r="M8" i="1"/>
  <c r="M9" i="1"/>
  <c r="M10" i="1"/>
  <c r="M11" i="1"/>
  <c r="M12" i="1"/>
  <c r="M13" i="1"/>
  <c r="M14" i="1"/>
  <c r="M15" i="1"/>
  <c r="M16" i="1"/>
  <c r="K3" i="1"/>
  <c r="K4" i="1"/>
  <c r="K5" i="1"/>
  <c r="K6" i="1"/>
  <c r="K2" i="1"/>
  <c r="M4" i="1"/>
  <c r="M5" i="1"/>
  <c r="M6" i="1"/>
  <c r="M3" i="1"/>
  <c r="M2" i="1" l="1"/>
</calcChain>
</file>

<file path=xl/sharedStrings.xml><?xml version="1.0" encoding="utf-8"?>
<sst xmlns="http://schemas.openxmlformats.org/spreadsheetml/2006/main" count="104" uniqueCount="37">
  <si>
    <t>Relation</t>
  </si>
  <si>
    <t>Party code type</t>
  </si>
  <si>
    <t>Account selection</t>
  </si>
  <si>
    <t>Product code type</t>
  </si>
  <si>
    <t>Item relation</t>
  </si>
  <si>
    <t>From</t>
  </si>
  <si>
    <t>To</t>
  </si>
  <si>
    <t>Unit</t>
  </si>
  <si>
    <t>Currency</t>
  </si>
  <si>
    <t>From date</t>
  </si>
  <si>
    <t>Net unit price</t>
  </si>
  <si>
    <t>Price unit</t>
  </si>
  <si>
    <t>Price (purch.)</t>
  </si>
  <si>
    <t>Table</t>
  </si>
  <si>
    <t>USD</t>
  </si>
  <si>
    <t>Amount in Currency</t>
  </si>
  <si>
    <t>=10^MAX(0,LEN(TEXT([@[Net unit price]],"0.############"))-FIND(".",TEXT([@[Net unit price]],"0.############"))-2)</t>
  </si>
  <si>
    <t>6999992443</t>
  </si>
  <si>
    <t>6999992513</t>
  </si>
  <si>
    <t>7347241600</t>
  </si>
  <si>
    <t>6990002175</t>
  </si>
  <si>
    <t>7115080806</t>
  </si>
  <si>
    <t>6990011188</t>
  </si>
  <si>
    <t>7709040810</t>
  </si>
  <si>
    <t>7850160000</t>
  </si>
  <si>
    <t>7615122400</t>
  </si>
  <si>
    <t>7713061216</t>
  </si>
  <si>
    <t>6990001048</t>
  </si>
  <si>
    <t>7709041012</t>
  </si>
  <si>
    <t>6999993586</t>
  </si>
  <si>
    <t>7707030810</t>
  </si>
  <si>
    <t>6999994204</t>
  </si>
  <si>
    <t>CAVA0001011</t>
  </si>
  <si>
    <t>CAVA0001073</t>
  </si>
  <si>
    <t>CAVA0001115</t>
  </si>
  <si>
    <t>CAVA0001141</t>
  </si>
  <si>
    <t>CAVA0001173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</si>
</sst>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numFmt numFmtId="2" formatCode="0.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M16" totalsRowShown="0">
  <autoFilter ref="A1:M16" xr:uid="{00000000-0009-0000-0100-000001000000}"/>
  <sortState xmlns:xlrd2="http://schemas.microsoft.com/office/spreadsheetml/2017/richdata2" ref="A2:M2">
    <sortCondition ref="M1:M2"/>
  </sortState>
  <tableColumns count="13">
    <tableColumn id="1" xr3:uid="{00000000-0010-0000-0000-000001000000}" name="Relation"/>
    <tableColumn id="2" xr3:uid="{00000000-0010-0000-0000-000002000000}" name="Party code type"/>
    <tableColumn id="3" xr3:uid="{00000000-0010-0000-0000-000003000000}" name="Account selection" dataDxfId="5"/>
    <tableColumn id="4" xr3:uid="{00000000-0010-0000-0000-000004000000}" name="Product code type"/>
    <tableColumn id="5" xr3:uid="{00000000-0010-0000-0000-000005000000}" name="Item relation" dataDxfId="4"/>
    <tableColumn id="8" xr3:uid="{00000000-0010-0000-0000-000008000000}" name="From"/>
    <tableColumn id="9" xr3:uid="{00000000-0010-0000-0000-000009000000}" name="To"/>
    <tableColumn id="10" xr3:uid="{00000000-0010-0000-0000-00000A000000}" name="Unit"/>
    <tableColumn id="11" xr3:uid="{00000000-0010-0000-0000-00000B000000}" name="Amount in Currency" dataDxfId="3"/>
    <tableColumn id="12" xr3:uid="{00000000-0010-0000-0000-00000C000000}" name="Currency"/>
    <tableColumn id="13" xr3:uid="{00000000-0010-0000-0000-00000D000000}" name="From date" dataDxfId="2">
      <calculatedColumnFormula>TODAY()</calculatedColumnFormula>
    </tableColumn>
    <tableColumn id="14" xr3:uid="{00000000-0010-0000-0000-00000E000000}" name="Net unit price" dataDxfId="1"/>
    <tableColumn id="15" xr3:uid="{00000000-0010-0000-0000-00000F000000}" name="Price unit" dataDxfId="0">
      <calculatedColumnFormula>10^MAX(0,LEN(TEXT(AxTable1[[#This Row],[Net unit price]],"0.############"))-FIND(".",TEXT(AxTable1[[#This Row],[Net unit price]],"0.############"))-2)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030635-aa56-4856-b6cb-7e554fd3d059}">
  <we:reference id="WA200006575" version="1.0.0.5" store="en-US" storeType="OMEX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D1" zoomScale="85" zoomScaleNormal="85" workbookViewId="0">
      <selection activeCell="X9" sqref="X9"/>
    </sheetView>
  </sheetViews>
  <sheetFormatPr defaultRowHeight="15" x14ac:dyDescent="0.25"/>
  <cols>
    <col min="1" max="1" width="13.140625" style="1" bestFit="1" customWidth="1"/>
    <col min="2" max="2" width="17.28515625" style="1" bestFit="1" customWidth="1"/>
    <col min="3" max="3" width="19.7109375" style="11" bestFit="1" customWidth="1"/>
    <col min="4" max="4" width="19.85546875" style="1" bestFit="1" customWidth="1"/>
    <col min="5" max="5" width="20.7109375" style="1" customWidth="1"/>
    <col min="6" max="6" width="8" style="2"/>
    <col min="7" max="7" width="6" style="2"/>
    <col min="8" max="8" width="8" style="1"/>
    <col min="9" max="9" width="21.42578125" style="5" bestFit="1" customWidth="1"/>
    <col min="10" max="10" width="12" style="1"/>
    <col min="11" max="11" width="14.140625" style="3" customWidth="1"/>
    <col min="12" max="12" width="19.140625" style="8" customWidth="1"/>
    <col min="13" max="13" width="14" style="7"/>
    <col min="17" max="17" width="9" style="10"/>
  </cols>
  <sheetData>
    <row r="1" spans="1:13" x14ac:dyDescent="0.25">
      <c r="A1" t="s">
        <v>0</v>
      </c>
      <c r="B1" t="s">
        <v>1</v>
      </c>
      <c r="C1" s="10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15</v>
      </c>
      <c r="J1" t="s">
        <v>8</v>
      </c>
      <c r="K1" t="s">
        <v>9</v>
      </c>
      <c r="L1" s="8" t="s">
        <v>10</v>
      </c>
      <c r="M1" s="7" t="s">
        <v>11</v>
      </c>
    </row>
    <row r="2" spans="1:13" x14ac:dyDescent="0.25">
      <c r="A2" s="1" t="s">
        <v>12</v>
      </c>
      <c r="B2" s="1" t="s">
        <v>13</v>
      </c>
      <c r="C2" s="10" t="s">
        <v>32</v>
      </c>
      <c r="D2" s="1" t="s">
        <v>13</v>
      </c>
      <c r="E2" t="s">
        <v>19</v>
      </c>
      <c r="F2" s="2">
        <v>0</v>
      </c>
      <c r="I2" s="6"/>
      <c r="J2" s="1" t="s">
        <v>14</v>
      </c>
      <c r="K2" s="9">
        <f ca="1">TODAY()</f>
        <v>46269</v>
      </c>
      <c r="L2" s="8">
        <v>65.621600000000001</v>
      </c>
      <c r="M2" s="7">
        <f>10^MAX(0,LEN(TEXT(AxTable1[[#This Row],[Net unit price]],"0.############"))-FIND(".",TEXT(AxTable1[[#This Row],[Net unit price]],"0.############"))-2)</f>
        <v>100</v>
      </c>
    </row>
    <row r="3" spans="1:13" x14ac:dyDescent="0.25">
      <c r="A3" s="1" t="s">
        <v>12</v>
      </c>
      <c r="B3" s="1" t="s">
        <v>13</v>
      </c>
      <c r="C3" s="10" t="s">
        <v>32</v>
      </c>
      <c r="D3" s="1" t="s">
        <v>13</v>
      </c>
      <c r="E3" t="s">
        <v>26</v>
      </c>
      <c r="F3" s="2">
        <v>0</v>
      </c>
      <c r="I3" s="6"/>
      <c r="J3" s="1" t="s">
        <v>14</v>
      </c>
      <c r="K3" s="9">
        <f t="shared" ref="K3:K6" ca="1" si="0">TODAY()</f>
        <v>46269</v>
      </c>
      <c r="L3" s="8">
        <v>4.3051000000000004</v>
      </c>
      <c r="M3" s="7">
        <f>10^MAX(0,LEN(TEXT(AxTable1[[#This Row],[Net unit price]],"0.############"))-FIND(".",TEXT(AxTable1[[#This Row],[Net unit price]],"0.############"))-2)</f>
        <v>100</v>
      </c>
    </row>
    <row r="4" spans="1:13" x14ac:dyDescent="0.25">
      <c r="A4" s="1" t="s">
        <v>12</v>
      </c>
      <c r="B4" s="1" t="s">
        <v>13</v>
      </c>
      <c r="C4" s="10" t="s">
        <v>32</v>
      </c>
      <c r="D4" s="1" t="s">
        <v>13</v>
      </c>
      <c r="E4" t="s">
        <v>30</v>
      </c>
      <c r="F4" s="2">
        <v>0</v>
      </c>
      <c r="I4" s="6"/>
      <c r="J4" s="1" t="s">
        <v>14</v>
      </c>
      <c r="K4" s="9">
        <f t="shared" ca="1" si="0"/>
        <v>46269</v>
      </c>
      <c r="L4" s="8">
        <v>1.2504</v>
      </c>
      <c r="M4" s="7">
        <f>10^MAX(0,LEN(TEXT(AxTable1[[#This Row],[Net unit price]],"0.############"))-FIND(".",TEXT(AxTable1[[#This Row],[Net unit price]],"0.############"))-2)</f>
        <v>100</v>
      </c>
    </row>
    <row r="5" spans="1:13" x14ac:dyDescent="0.25">
      <c r="A5" s="1" t="s">
        <v>12</v>
      </c>
      <c r="B5" s="1" t="s">
        <v>13</v>
      </c>
      <c r="C5" s="10" t="s">
        <v>32</v>
      </c>
      <c r="D5" s="1" t="s">
        <v>13</v>
      </c>
      <c r="E5" t="s">
        <v>25</v>
      </c>
      <c r="F5" s="2">
        <v>0</v>
      </c>
      <c r="I5" s="6"/>
      <c r="J5" s="1" t="s">
        <v>14</v>
      </c>
      <c r="K5" s="9">
        <f t="shared" ca="1" si="0"/>
        <v>46269</v>
      </c>
      <c r="L5" s="8">
        <v>10.885999999999999</v>
      </c>
      <c r="M5" s="7">
        <f>10^MAX(0,LEN(TEXT(AxTable1[[#This Row],[Net unit price]],"0.############"))-FIND(".",TEXT(AxTable1[[#This Row],[Net unit price]],"0.############"))-2)</f>
        <v>10</v>
      </c>
    </row>
    <row r="6" spans="1:13" x14ac:dyDescent="0.25">
      <c r="A6" s="1" t="s">
        <v>12</v>
      </c>
      <c r="B6" s="1" t="s">
        <v>13</v>
      </c>
      <c r="C6" s="10" t="s">
        <v>32</v>
      </c>
      <c r="D6" s="1" t="s">
        <v>13</v>
      </c>
      <c r="E6" t="s">
        <v>17</v>
      </c>
      <c r="F6" s="2">
        <v>0</v>
      </c>
      <c r="I6" s="6"/>
      <c r="J6" s="1" t="s">
        <v>14</v>
      </c>
      <c r="K6" s="9">
        <f t="shared" ca="1" si="0"/>
        <v>46269</v>
      </c>
      <c r="L6" s="8">
        <v>0.121</v>
      </c>
      <c r="M6" s="7">
        <f>10^MAX(0,LEN(TEXT(AxTable1[[#This Row],[Net unit price]],"0.############"))-FIND(".",TEXT(AxTable1[[#This Row],[Net unit price]],"0.############"))-2)</f>
        <v>10</v>
      </c>
    </row>
    <row r="7" spans="1:13" x14ac:dyDescent="0.25">
      <c r="A7" s="1" t="s">
        <v>12</v>
      </c>
      <c r="B7" s="1" t="s">
        <v>13</v>
      </c>
      <c r="C7" s="10" t="s">
        <v>33</v>
      </c>
      <c r="D7" s="1" t="s">
        <v>13</v>
      </c>
      <c r="E7" t="s">
        <v>27</v>
      </c>
      <c r="F7" s="2">
        <v>0</v>
      </c>
      <c r="I7" s="6"/>
      <c r="J7" s="1" t="s">
        <v>14</v>
      </c>
      <c r="K7" s="9">
        <f t="shared" ref="K7:K16" ca="1" si="1">TODAY()</f>
        <v>46269</v>
      </c>
      <c r="L7" s="8">
        <v>3.61</v>
      </c>
      <c r="M7" s="7">
        <f>10^MAX(0,LEN(TEXT(AxTable1[[#This Row],[Net unit price]],"0.############"))-FIND(".",TEXT(AxTable1[[#This Row],[Net unit price]],"0.############"))-2)</f>
        <v>1</v>
      </c>
    </row>
    <row r="8" spans="1:13" x14ac:dyDescent="0.25">
      <c r="A8" s="1" t="s">
        <v>12</v>
      </c>
      <c r="B8" s="1" t="s">
        <v>13</v>
      </c>
      <c r="C8" s="10" t="s">
        <v>32</v>
      </c>
      <c r="D8" s="1" t="s">
        <v>13</v>
      </c>
      <c r="E8" t="s">
        <v>23</v>
      </c>
      <c r="F8" s="2">
        <v>0</v>
      </c>
      <c r="I8" s="6"/>
      <c r="J8" s="1" t="s">
        <v>14</v>
      </c>
      <c r="K8" s="9">
        <f t="shared" ca="1" si="1"/>
        <v>46269</v>
      </c>
      <c r="L8" s="8">
        <v>1.4942</v>
      </c>
      <c r="M8" s="7">
        <f>10^MAX(0,LEN(TEXT(AxTable1[[#This Row],[Net unit price]],"0.############"))-FIND(".",TEXT(AxTable1[[#This Row],[Net unit price]],"0.############"))-2)</f>
        <v>100</v>
      </c>
    </row>
    <row r="9" spans="1:13" x14ac:dyDescent="0.25">
      <c r="A9" s="1" t="s">
        <v>12</v>
      </c>
      <c r="B9" s="1" t="s">
        <v>13</v>
      </c>
      <c r="C9" s="10" t="s">
        <v>34</v>
      </c>
      <c r="D9" s="1" t="s">
        <v>13</v>
      </c>
      <c r="E9" t="s">
        <v>22</v>
      </c>
      <c r="F9" s="2">
        <v>0</v>
      </c>
      <c r="I9" s="6"/>
      <c r="J9" s="1" t="s">
        <v>14</v>
      </c>
      <c r="K9" s="9">
        <f t="shared" ca="1" si="1"/>
        <v>46269</v>
      </c>
      <c r="L9" s="8">
        <v>7.0359999999999996</v>
      </c>
      <c r="M9" s="7">
        <f>10^MAX(0,LEN(TEXT(AxTable1[[#This Row],[Net unit price]],"0.############"))-FIND(".",TEXT(AxTable1[[#This Row],[Net unit price]],"0.############"))-2)</f>
        <v>10</v>
      </c>
    </row>
    <row r="10" spans="1:13" x14ac:dyDescent="0.25">
      <c r="A10" s="1" t="s">
        <v>12</v>
      </c>
      <c r="B10" s="1" t="s">
        <v>13</v>
      </c>
      <c r="C10" s="10" t="s">
        <v>35</v>
      </c>
      <c r="D10" s="1" t="s">
        <v>13</v>
      </c>
      <c r="E10" t="s">
        <v>21</v>
      </c>
      <c r="F10" s="2">
        <v>0</v>
      </c>
      <c r="I10" s="6"/>
      <c r="J10" s="1" t="s">
        <v>14</v>
      </c>
      <c r="K10" s="9">
        <f t="shared" ca="1" si="1"/>
        <v>46269</v>
      </c>
      <c r="L10" s="8">
        <v>6.8630000000000004</v>
      </c>
      <c r="M10" s="7">
        <f>10^MAX(0,LEN(TEXT(AxTable1[[#This Row],[Net unit price]],"0.############"))-FIND(".",TEXT(AxTable1[[#This Row],[Net unit price]],"0.############"))-2)</f>
        <v>10</v>
      </c>
    </row>
    <row r="11" spans="1:13" x14ac:dyDescent="0.25">
      <c r="A11" s="1" t="s">
        <v>12</v>
      </c>
      <c r="B11" s="1" t="s">
        <v>13</v>
      </c>
      <c r="C11" s="10" t="s">
        <v>36</v>
      </c>
      <c r="D11" s="1" t="s">
        <v>13</v>
      </c>
      <c r="E11" t="s">
        <v>31</v>
      </c>
      <c r="F11" s="2">
        <v>0</v>
      </c>
      <c r="I11" s="6"/>
      <c r="J11" s="1" t="s">
        <v>14</v>
      </c>
      <c r="K11" s="9">
        <f t="shared" ca="1" si="1"/>
        <v>46269</v>
      </c>
      <c r="L11" s="8">
        <v>89</v>
      </c>
      <c r="M11" s="7">
        <f>10^MAX(0,LEN(TEXT(AxTable1[[#This Row],[Net unit price]],"0.############"))-FIND(".",TEXT(AxTable1[[#This Row],[Net unit price]],"0.############"))-2)</f>
        <v>1</v>
      </c>
    </row>
    <row r="12" spans="1:13" x14ac:dyDescent="0.25">
      <c r="A12" s="1" t="s">
        <v>12</v>
      </c>
      <c r="B12" s="1" t="s">
        <v>13</v>
      </c>
      <c r="C12" s="10" t="s">
        <v>32</v>
      </c>
      <c r="D12" s="1" t="s">
        <v>13</v>
      </c>
      <c r="E12" t="s">
        <v>28</v>
      </c>
      <c r="F12" s="2">
        <v>0</v>
      </c>
      <c r="I12" s="6"/>
      <c r="J12" s="1" t="s">
        <v>14</v>
      </c>
      <c r="K12" s="9">
        <f t="shared" ca="1" si="1"/>
        <v>46269</v>
      </c>
      <c r="L12" s="8">
        <v>1.4942</v>
      </c>
      <c r="M12" s="7">
        <f>10^MAX(0,LEN(TEXT(AxTable1[[#This Row],[Net unit price]],"0.############"))-FIND(".",TEXT(AxTable1[[#This Row],[Net unit price]],"0.############"))-2)</f>
        <v>100</v>
      </c>
    </row>
    <row r="13" spans="1:13" x14ac:dyDescent="0.25">
      <c r="A13" s="1" t="s">
        <v>12</v>
      </c>
      <c r="B13" s="1" t="s">
        <v>13</v>
      </c>
      <c r="C13" s="10" t="s">
        <v>32</v>
      </c>
      <c r="D13" s="1" t="s">
        <v>13</v>
      </c>
      <c r="E13" t="s">
        <v>18</v>
      </c>
      <c r="F13" s="2">
        <v>0</v>
      </c>
      <c r="I13" s="6"/>
      <c r="J13" s="1" t="s">
        <v>14</v>
      </c>
      <c r="K13" s="9">
        <f t="shared" ca="1" si="1"/>
        <v>46269</v>
      </c>
      <c r="L13" s="8">
        <v>0.5635</v>
      </c>
      <c r="M13" s="7">
        <f>10^MAX(0,LEN(TEXT(AxTable1[[#This Row],[Net unit price]],"0.############"))-FIND(".",TEXT(AxTable1[[#This Row],[Net unit price]],"0.############"))-2)</f>
        <v>100</v>
      </c>
    </row>
    <row r="14" spans="1:13" x14ac:dyDescent="0.25">
      <c r="A14" s="1" t="s">
        <v>12</v>
      </c>
      <c r="B14" s="1" t="s">
        <v>13</v>
      </c>
      <c r="C14" s="10" t="s">
        <v>32</v>
      </c>
      <c r="D14" s="1" t="s">
        <v>13</v>
      </c>
      <c r="E14" t="s">
        <v>24</v>
      </c>
      <c r="F14" s="2">
        <v>0</v>
      </c>
      <c r="I14" s="6"/>
      <c r="J14" s="1" t="s">
        <v>14</v>
      </c>
      <c r="K14" s="9">
        <f t="shared" ca="1" si="1"/>
        <v>46269</v>
      </c>
      <c r="L14" s="8">
        <v>7.0991999999999997</v>
      </c>
      <c r="M14" s="7">
        <f>10^MAX(0,LEN(TEXT(AxTable1[[#This Row],[Net unit price]],"0.############"))-FIND(".",TEXT(AxTable1[[#This Row],[Net unit price]],"0.############"))-2)</f>
        <v>100</v>
      </c>
    </row>
    <row r="15" spans="1:13" x14ac:dyDescent="0.25">
      <c r="A15" s="1" t="s">
        <v>12</v>
      </c>
      <c r="B15" s="1" t="s">
        <v>13</v>
      </c>
      <c r="C15" s="10" t="s">
        <v>32</v>
      </c>
      <c r="D15" s="1" t="s">
        <v>13</v>
      </c>
      <c r="E15" t="s">
        <v>20</v>
      </c>
      <c r="F15" s="2">
        <v>0</v>
      </c>
      <c r="I15" s="6"/>
      <c r="J15" s="1" t="s">
        <v>14</v>
      </c>
      <c r="K15" s="9">
        <f t="shared" ca="1" si="1"/>
        <v>46269</v>
      </c>
      <c r="L15" s="8">
        <v>68.518299999999996</v>
      </c>
      <c r="M15" s="7">
        <f>10^MAX(0,LEN(TEXT(AxTable1[[#This Row],[Net unit price]],"0.############"))-FIND(".",TEXT(AxTable1[[#This Row],[Net unit price]],"0.############"))-2)</f>
        <v>100</v>
      </c>
    </row>
    <row r="16" spans="1:13" x14ac:dyDescent="0.25">
      <c r="A16" s="1" t="s">
        <v>12</v>
      </c>
      <c r="B16" s="1" t="s">
        <v>13</v>
      </c>
      <c r="C16" s="10" t="s">
        <v>36</v>
      </c>
      <c r="D16" s="1" t="s">
        <v>13</v>
      </c>
      <c r="E16" t="s">
        <v>29</v>
      </c>
      <c r="F16" s="2">
        <v>0</v>
      </c>
      <c r="I16" s="6"/>
      <c r="J16" s="1" t="s">
        <v>14</v>
      </c>
      <c r="K16" s="9">
        <f t="shared" ca="1" si="1"/>
        <v>46269</v>
      </c>
      <c r="L16" s="8">
        <v>128</v>
      </c>
      <c r="M16" s="7">
        <f>10^MAX(0,LEN(TEXT(AxTable1[[#This Row],[Net unit price]],"0.############"))-FIND(".",TEXT(AxTable1[[#This Row],[Net unit price]],"0.############"))-2)</f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3B4C-313C-40C8-89F5-51A97479D89E}">
  <dimension ref="B2:M2"/>
  <sheetViews>
    <sheetView workbookViewId="0">
      <selection activeCell="B2" sqref="B2:M2"/>
    </sheetView>
  </sheetViews>
  <sheetFormatPr defaultRowHeight="15" x14ac:dyDescent="0.25"/>
  <sheetData>
    <row r="2" spans="2:13" x14ac:dyDescent="0.25">
      <c r="B2" s="12" t="s">
        <v>16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</sheetData>
  <mergeCells count="1"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priceUnit 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Trent</dc:creator>
  <cp:lastModifiedBy>Brandon Trent</cp:lastModifiedBy>
  <dcterms:created xsi:type="dcterms:W3CDTF">2026-03-05T14:02:23Z</dcterms:created>
  <dcterms:modified xsi:type="dcterms:W3CDTF">2026-09-04T21:08:23Z</dcterms:modified>
</cp:coreProperties>
</file>