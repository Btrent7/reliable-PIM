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rade_agreement_templates/"/>
    </mc:Choice>
  </mc:AlternateContent>
  <xr:revisionPtr revIDLastSave="1057" documentId="8_{F69A5B1D-35AF-4916-A00F-77A7DAB05B98}" xr6:coauthVersionLast="47" xr6:coauthVersionMax="47" xr10:uidLastSave="{0D8857EE-5A98-4EF0-8FB3-FC7E3FEC5AC7}"/>
  <bookViews>
    <workbookView xWindow="28680" yWindow="-1365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<sst xmlns="http://schemas.openxmlformats.org/spreadsheetml/2006/main" count="51" uniqueCount="47">
  <si>
    <t>Relation</t>
  </si>
  <si>
    <t>Party code type</t>
  </si>
  <si>
    <t>Account selection</t>
  </si>
  <si>
    <t>Product code type</t>
  </si>
  <si>
    <t>Item relation</t>
  </si>
  <si>
    <t>From</t>
  </si>
  <si>
    <t>To</t>
  </si>
  <si>
    <t>Unit</t>
  </si>
  <si>
    <t>Currency</t>
  </si>
  <si>
    <t>From date</t>
  </si>
  <si>
    <t>Net unit price</t>
  </si>
  <si>
    <t>Price unit</t>
  </si>
  <si>
    <t>Table</t>
  </si>
  <si>
    <t>USD</t>
  </si>
  <si>
    <t>Price (sales)</t>
  </si>
  <si>
    <t>All</t>
  </si>
  <si>
    <t>Amount in Currency</t>
  </si>
  <si>
    <t>Generic Currency</t>
  </si>
  <si>
    <t>Dry Hydrant (Galaxy #1510)</t>
  </si>
  <si>
    <t>Part</t>
  </si>
  <si>
    <t>Reliable RFH2-2H1P-4/2.5/3 (Fire Hydrant, Dry Barrel, 4” PNozz / 2-1/2” HNozz, Depth 3’ / 0.9m, UL/FM, 250 psi)</t>
  </si>
  <si>
    <t>7U99004401</t>
  </si>
  <si>
    <t>Reliable RFH2-2H1P-4.5/2.5/3 (Fire Hydrant, Dry Barrel, 4.5” PNozz / 2-1/2” HNozz, Depth 3’ / 0.9m, UL/FM, 250 psi)</t>
  </si>
  <si>
    <t>7U99004402</t>
  </si>
  <si>
    <t>Reliable RFH2-2H1P-4/2.5/3.6 (Fire Hydrant, Dry Barrel, 4” PNozz / 2-1/2” HNozz, Depth 3’6” / 1.1m, UL/FM, 250 psi)</t>
  </si>
  <si>
    <t>7U99004403</t>
  </si>
  <si>
    <t>Reliable RFH2-2H1P-4.5/2.5/3.6 (Fire Hydrant, Dry Barrel, 4.5” PNozz / 2-1/2” HNozz, Depth 3’6” / 1.1m, UL/FM, 250 psi)</t>
  </si>
  <si>
    <t>7U99004404</t>
  </si>
  <si>
    <t>Reliable RFH2-2H1P-4/2.5/4 (Fire Hydrant, Dry Barrel, 4” PNozz / 2-1/2” HNozz, Depth 4’ / 1.2m, UL/FM, 250 psi)</t>
  </si>
  <si>
    <t>7U99004405</t>
  </si>
  <si>
    <t>Reliable RFH2-2H1P-4.5/2.5/4 (Fire Hydrant, Dry Barrel, 4.5” PNozz / 2-1/2” HNozz, Depth 4’ / 1.2m, UL/FM, 250 psi)</t>
  </si>
  <si>
    <t>7U99004406</t>
  </si>
  <si>
    <t>Reliable RFH2-2H1P-4/2.5/5 (Fire Hydrant, Dry Barrel, 4” PNozz / 2-1/2” HNozz, Depth 5’ / 1.5m, UL/FM, 250 psi)</t>
  </si>
  <si>
    <t>7U99004407</t>
  </si>
  <si>
    <t>Reliable RFH2-2H1P-4.5/2.5/5 (Fire Hydrant, Dry Barrel, 4.5” PNozz / 2-1/2” HNozz, Depth 5’ / 1.5m, UL/FM, 250 psi)</t>
  </si>
  <si>
    <t>7U99004408</t>
  </si>
  <si>
    <t>Wet Hydrant (Galaxy # 1511)</t>
  </si>
  <si>
    <t>Reliable RFH1-2H1P-4/2.5 (Fire Hydrant, Wet Barrel, 4” PNozz / 2-1/2” HNozz, UL/FM, 250 psi)</t>
  </si>
  <si>
    <t>7U99004396</t>
  </si>
  <si>
    <t>Reliable RFH1-2H1P-4.5/2.5 (Fire Hydrant, Wet Barrel, 4-1/2” PNozz / 2-1/2” HNozz, UL/FM, 250 psi)</t>
  </si>
  <si>
    <t>7U99004397</t>
  </si>
  <si>
    <t>Reliable RFH1-2H1PM-4/2.5 (Fire Hydrant, Wet Barrel, 4” PNozz / 2-1/2” HNozz, w / Monitoring Flange UL/FM, 250 psi)</t>
  </si>
  <si>
    <t>7U99004398</t>
  </si>
  <si>
    <t>Reliable RFH1-2H1PM-4.5/2.5 (Fire Hydrant, Wet Barrel, 4-1/2” PNozz / 2-1/”2 HNozz, w / Monitoring Flange UL/FM, 250 psi)</t>
  </si>
  <si>
    <t>7U99004399</t>
  </si>
  <si>
    <t/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</si>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</sst>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164" fontId="2" fillId="0" borderId="0" xfId="1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N2" totalsRowShown="0">
  <autoFilter ref="A1:N2" xr:uid="{00000000-0009-0000-0100-000001000000}"/>
  <sortState xmlns:xlrd2="http://schemas.microsoft.com/office/spreadsheetml/2017/richdata2" ref="A2:N2">
    <sortCondition descending="1" ref="E1:E2"/>
  </sortState>
  <tableColumns count="14">
    <tableColumn id="1" xr3:uid="{00000000-0010-0000-0000-000001000000}" name="Relation"/>
    <tableColumn id="2" xr3:uid="{00000000-0010-0000-0000-000002000000}" name="Party code type"/>
    <tableColumn id="3" xr3:uid="{00000000-0010-0000-0000-000003000000}" name="Account selection"/>
    <tableColumn id="4" xr3:uid="{00000000-0010-0000-0000-000004000000}" name="Product code type"/>
    <tableColumn id="5" xr3:uid="{00000000-0010-0000-0000-000005000000}" name="Item relation" dataDxfId="5"/>
    <tableColumn id="8" xr3:uid="{00000000-0010-0000-0000-000008000000}" name="From"/>
    <tableColumn id="9" xr3:uid="{00000000-0010-0000-0000-000009000000}" name="To"/>
    <tableColumn id="10" xr3:uid="{00000000-0010-0000-0000-00000A000000}" name="Unit"/>
    <tableColumn id="11" xr3:uid="{00000000-0010-0000-0000-00000B000000}" name="Amount in Currency"/>
    <tableColumn id="12" xr3:uid="{00000000-0010-0000-0000-00000C000000}" name="Currency"/>
    <tableColumn id="13" xr3:uid="{00000000-0010-0000-0000-00000D000000}" name="From date" dataDxfId="4">
      <calculatedColumnFormula>TODAY()</calculatedColumnFormula>
    </tableColumn>
    <tableColumn id="14" xr3:uid="{00000000-0010-0000-0000-00000E000000}" name="Net unit price" dataDxfId="3"/>
    <tableColumn id="15" xr3:uid="{00000000-0010-0000-0000-00000F000000}" name="Price unit" dataDxfId="2"/>
    <tableColumn id="16" xr3:uid="{60B662FE-0588-4FAC-B51A-730907E4BED0}" name="Generic Currenc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191504-4D83-4D06-AD6D-E387D16868EA}" name="Table2" displayName="Table2" ref="F3:F9" totalsRowShown="0">
  <autoFilter ref="F3:F9" xr:uid="{99191504-4D83-4D06-AD6D-E387D16868EA}"/>
  <sortState xmlns:xlrd2="http://schemas.microsoft.com/office/spreadsheetml/2017/richdata2" ref="F4:F9">
    <sortCondition ref="F3:F9"/>
  </sortState>
  <tableColumns count="1">
    <tableColumn id="1" xr3:uid="{7B0A0D24-C6FB-4C68-AD07-10222F31C0C0}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030635-aa56-4856-b6cb-7e554fd3d059}">
  <we:reference id="WA200006575" version="1.0.0.5" store="en-US" storeType="OMEX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Normal="100" workbookViewId="0">
      <selection activeCell="I12" sqref="I12"/>
    </sheetView>
  </sheetViews>
  <sheetFormatPr defaultRowHeight="15" x14ac:dyDescent="0.25"/>
  <cols>
    <col min="1" max="1" width="12" style="1"/>
    <col min="2" max="2" width="19" style="1"/>
    <col min="3" max="4" width="21" style="1"/>
    <col min="5" max="5" width="17" style="1"/>
    <col min="6" max="6" width="8" style="2"/>
    <col min="7" max="7" width="12.42578125" style="2" customWidth="1"/>
    <col min="8" max="8" width="13.140625" style="1" customWidth="1"/>
    <col min="9" max="9" width="22" style="2"/>
    <col min="10" max="10" width="12" style="1"/>
    <col min="11" max="11" width="13" style="3"/>
    <col min="12" max="12" width="18" style="9"/>
    <col min="13" max="13" width="14" style="6"/>
    <col min="14" max="14" width="21.5703125" style="4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8" t="s">
        <v>4</v>
      </c>
      <c r="F1" t="s">
        <v>5</v>
      </c>
      <c r="G1" t="s">
        <v>6</v>
      </c>
      <c r="H1" t="s">
        <v>7</v>
      </c>
      <c r="I1" t="s">
        <v>16</v>
      </c>
      <c r="J1" t="s">
        <v>8</v>
      </c>
      <c r="K1" t="s">
        <v>9</v>
      </c>
      <c r="L1" s="9" t="s">
        <v>10</v>
      </c>
      <c r="M1" s="4" t="s">
        <v>11</v>
      </c>
      <c r="N1" s="4" t="s">
        <v>17</v>
      </c>
    </row>
    <row r="2" spans="1:14" x14ac:dyDescent="0.25">
      <c r="A2" s="1" t="s">
        <v>14</v>
      </c>
      <c r="B2" s="1" t="s">
        <v>15</v>
      </c>
      <c r="D2" s="1" t="s">
        <v>12</v>
      </c>
      <c r="E2" s="8">
        <v>6990031201</v>
      </c>
      <c r="F2" s="2">
        <v>0</v>
      </c>
      <c r="J2" s="1" t="s">
        <v>13</v>
      </c>
      <c r="K2" s="5">
        <f t="shared" ref="K2" ca="1" si="0">TODAY()</f>
        <v>46269</v>
      </c>
      <c r="L2" s="10">
        <v>5000</v>
      </c>
      <c r="M2" s="6">
        <v>1</v>
      </c>
      <c r="N2" s="4" t="b">
        <v>1</v>
      </c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78A-1B87-4CC1-AE38-60BDEDA0007E}">
  <dimension ref="F3:F9"/>
  <sheetViews>
    <sheetView workbookViewId="0">
      <selection activeCell="F4" sqref="F4:F9"/>
    </sheetView>
  </sheetViews>
  <sheetFormatPr defaultRowHeight="15" x14ac:dyDescent="0.25"/>
  <cols>
    <col min="6" max="6" width="15.140625" customWidth="1"/>
  </cols>
  <sheetData>
    <row r="3" spans="6:6" x14ac:dyDescent="0.25">
      <c r="F3" t="s">
        <v>46</v>
      </c>
    </row>
    <row r="4" spans="6:6" x14ac:dyDescent="0.25">
      <c r="F4">
        <v>6990031149</v>
      </c>
    </row>
    <row r="5" spans="6:6" x14ac:dyDescent="0.25">
      <c r="F5">
        <v>6990031150</v>
      </c>
    </row>
    <row r="6" spans="6:6" x14ac:dyDescent="0.25">
      <c r="F6">
        <v>6990031151</v>
      </c>
    </row>
    <row r="7" spans="6:6" x14ac:dyDescent="0.25">
      <c r="F7">
        <v>6990031152</v>
      </c>
    </row>
    <row r="8" spans="6:6" x14ac:dyDescent="0.25">
      <c r="F8">
        <v>6990031153</v>
      </c>
    </row>
    <row r="9" spans="6:6" x14ac:dyDescent="0.25">
      <c r="F9">
        <v>6990031154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EDAD-2FEB-49CE-8DFA-E15AFB09D81B}">
  <dimension ref="B6:D24"/>
  <sheetViews>
    <sheetView workbookViewId="0">
      <selection activeCell="C8" sqref="C8:D24"/>
    </sheetView>
  </sheetViews>
  <sheetFormatPr defaultRowHeight="15" x14ac:dyDescent="0.25"/>
  <cols>
    <col min="2" max="2" width="20.28515625" customWidth="1"/>
    <col min="3" max="3" width="25.42578125" customWidth="1"/>
    <col min="4" max="4" width="9.5703125" style="7" bestFit="1" customWidth="1"/>
  </cols>
  <sheetData>
    <row r="6" spans="2:4" x14ac:dyDescent="0.25">
      <c r="B6" t="s">
        <v>18</v>
      </c>
      <c r="C6" t="s">
        <v>19</v>
      </c>
    </row>
    <row r="8" spans="2:4" x14ac:dyDescent="0.25">
      <c r="B8" t="s">
        <v>20</v>
      </c>
      <c r="C8" t="s">
        <v>21</v>
      </c>
      <c r="D8" s="7">
        <v>8300</v>
      </c>
    </row>
    <row r="9" spans="2:4" x14ac:dyDescent="0.25">
      <c r="B9" t="s">
        <v>22</v>
      </c>
      <c r="C9" t="s">
        <v>23</v>
      </c>
      <c r="D9" s="7">
        <v>8300</v>
      </c>
    </row>
    <row r="10" spans="2:4" x14ac:dyDescent="0.25">
      <c r="B10" t="s">
        <v>24</v>
      </c>
      <c r="C10" t="s">
        <v>25</v>
      </c>
      <c r="D10" s="7">
        <v>8300</v>
      </c>
    </row>
    <row r="11" spans="2:4" x14ac:dyDescent="0.25">
      <c r="B11" t="s">
        <v>26</v>
      </c>
      <c r="C11" t="s">
        <v>27</v>
      </c>
      <c r="D11" s="7">
        <v>8300</v>
      </c>
    </row>
    <row r="12" spans="2:4" x14ac:dyDescent="0.25">
      <c r="B12" t="s">
        <v>28</v>
      </c>
      <c r="C12" t="s">
        <v>29</v>
      </c>
      <c r="D12" s="7">
        <v>8300</v>
      </c>
    </row>
    <row r="13" spans="2:4" x14ac:dyDescent="0.25">
      <c r="B13" t="s">
        <v>30</v>
      </c>
      <c r="C13" t="s">
        <v>31</v>
      </c>
      <c r="D13" s="7">
        <v>8300</v>
      </c>
    </row>
    <row r="14" spans="2:4" x14ac:dyDescent="0.25">
      <c r="B14" t="s">
        <v>32</v>
      </c>
      <c r="C14" t="s">
        <v>33</v>
      </c>
      <c r="D14" s="7">
        <v>8300</v>
      </c>
    </row>
    <row r="15" spans="2:4" x14ac:dyDescent="0.25">
      <c r="B15" t="s">
        <v>34</v>
      </c>
      <c r="C15" t="s">
        <v>35</v>
      </c>
      <c r="D15" s="7">
        <v>8300</v>
      </c>
    </row>
    <row r="16" spans="2:4" x14ac:dyDescent="0.25">
      <c r="D16" s="7" t="s">
        <v>45</v>
      </c>
    </row>
    <row r="17" spans="2:4" x14ac:dyDescent="0.25">
      <c r="D17" s="7" t="s">
        <v>45</v>
      </c>
    </row>
    <row r="18" spans="2:4" x14ac:dyDescent="0.25">
      <c r="D18" s="7" t="s">
        <v>45</v>
      </c>
    </row>
    <row r="19" spans="2:4" x14ac:dyDescent="0.25">
      <c r="B19" t="s">
        <v>36</v>
      </c>
      <c r="D19" s="7" t="s">
        <v>45</v>
      </c>
    </row>
    <row r="20" spans="2:4" x14ac:dyDescent="0.25">
      <c r="D20" s="7" t="s">
        <v>45</v>
      </c>
    </row>
    <row r="21" spans="2:4" x14ac:dyDescent="0.25">
      <c r="B21" t="s">
        <v>37</v>
      </c>
      <c r="C21" t="s">
        <v>38</v>
      </c>
      <c r="D21" s="7">
        <v>6000</v>
      </c>
    </row>
    <row r="22" spans="2:4" x14ac:dyDescent="0.25">
      <c r="B22" t="s">
        <v>39</v>
      </c>
      <c r="C22" t="s">
        <v>40</v>
      </c>
      <c r="D22" s="7">
        <v>6000</v>
      </c>
    </row>
    <row r="23" spans="2:4" x14ac:dyDescent="0.25">
      <c r="B23" t="s">
        <v>41</v>
      </c>
      <c r="C23" t="s">
        <v>42</v>
      </c>
      <c r="D23" s="7">
        <v>6000</v>
      </c>
    </row>
    <row r="24" spans="2:4" x14ac:dyDescent="0.25">
      <c r="B24" t="s">
        <v>43</v>
      </c>
      <c r="C24" t="s">
        <v>44</v>
      </c>
      <c r="D24" s="7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Trent</dc:creator>
  <cp:lastModifiedBy>Brandon Trent</cp:lastModifiedBy>
  <dcterms:created xsi:type="dcterms:W3CDTF">2026-03-05T14:02:23Z</dcterms:created>
  <dcterms:modified xsi:type="dcterms:W3CDTF">2026-09-04T21:07:57Z</dcterms:modified>
</cp:coreProperties>
</file>